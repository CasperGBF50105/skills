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Курсы" sheetId="2" state="visible" r:id="rId2"/>
    <sheet name="Вагоны" sheetId="3" state="visible" r:id="rId3"/>
    <sheet name="Платежи" sheetId="4" state="visible" r:id="rId4"/>
    <sheet name="План оплат" sheetId="5" state="visible" r:id="rId5"/>
    <sheet name="Дашбор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Курсы" displayName="tblКурсы" ref="A1:B1" headerRowCount="1">
  <autoFilter ref="A1:B1"/>
  <tableColumns count="2">
    <tableColumn id="1" name="Дата"/>
    <tableColumn id="2" name="Курс USD/RUB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Вагоны" displayName="tblВагоны" ref="A1:AA2" headerRowCount="1">
  <autoFilter ref="A1:AA2"/>
  <tableColumns count="27">
    <tableColumn id="1" name="ID вагона"/>
    <tableColumn id="2" name="Номер вагона"/>
    <tableColumn id="3" name="Дата отправки"/>
    <tableColumn id="4" name="Дата прибытия на ст. Ирана"/>
    <tableColumn id="5" name="Дата фиксации цены"/>
    <tableColumn id="6" name="Объём, м3"/>
    <tableColumn id="7" name="Цена продажи, USD/м3"/>
    <tableColumn id="8" name="Курс на дату фиксации"/>
    <tableColumn id="9" name="Сумма к оплате, USD"/>
    <tableColumn id="10" name="Сумма к оплате, RUB на дату фиксации"/>
    <tableColumn id="11" name="Оплачено, USD"/>
    <tableColumn id="12" name="Оплачено, RUB"/>
    <tableColumn id="13" name="Остаток, USD"/>
    <tableColumn id="14" name="Остаток, RUB по текущему курсу"/>
    <tableColumn id="15" name="Статус"/>
    <tableColumn id="16" name="Расход поставщика, RUB"/>
    <tableColumn id="17" name="Погрузка, RUB"/>
    <tableColumn id="18" name="Транзит+обратка, USD"/>
    <tableColumn id="19" name="Транзит+обратка, RUB"/>
    <tableColumn id="20" name="Начисленная прибыль, RUB"/>
    <tableColumn id="21" name="Кассовая прибыль, RUB"/>
    <tableColumn id="22" name="Курсовая разница, RUB"/>
    <tableColumn id="23" name="Прибыль на 1 м3, RUB"/>
    <tableColumn id="24" name="Последний платёж"/>
    <tableColumn id="25" name="Срок оплаты"/>
    <tableColumn id="26" name="Просрочка"/>
    <tableColumn id="27" name="Комментарий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Платежи" displayName="tblПлатежи" ref="A1:J2" headerRowCount="1">
  <autoFilter ref="A1:J2"/>
  <tableColumns count="10">
    <tableColumn id="1" name="Дата платежа"/>
    <tableColumn id="2" name="ID вагона"/>
    <tableColumn id="3" name="Сумма платежа"/>
    <tableColumn id="4" name="Валюта"/>
    <tableColumn id="5" name="Курс на дату платежа"/>
    <tableColumn id="6" name="Сумма в USD"/>
    <tableColumn id="7" name="Сумма в RUB"/>
    <tableColumn id="8" name="Статус"/>
    <tableColumn id="9" name="Банк/примечание"/>
    <tableColumn id="10" name="№ платежа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ПланОплат" displayName="tblПланОплат" ref="A1:I2" headerRowCount="1">
  <autoFilter ref="A1:I2"/>
  <tableColumns count="9">
    <tableColumn id="1" name="ID вагона"/>
    <tableColumn id="2" name="№ платежа"/>
    <tableColumn id="3" name="Плановая дата"/>
    <tableColumn id="4" name="Плановая сумма USD"/>
    <tableColumn id="5" name="План RUB"/>
    <tableColumn id="6" name="Статус"/>
    <tableColumn id="7" name="Факт дата"/>
    <tableColumn id="8" name="Факт RUB"/>
    <tableColumn id="9" name="Отклонение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t="inlineStr">
        <is>
          <t>Курс USD/RUB текущий</t>
        </is>
      </c>
      <c r="B2" s="2" t="n">
        <v>91</v>
      </c>
      <c r="C2" t="inlineStr">
        <is>
          <t>RUB/USD</t>
        </is>
      </c>
    </row>
    <row r="3">
      <c r="A3" t="inlineStr">
        <is>
          <t>Цена поставщика с доставкой</t>
        </is>
      </c>
      <c r="B3" s="3" t="n">
        <v>13700</v>
      </c>
      <c r="C3" t="inlineStr">
        <is>
          <t>RUB/м3</t>
        </is>
      </c>
    </row>
    <row r="4">
      <c r="A4" t="inlineStr">
        <is>
          <t>Погрузка вагона с дорогой</t>
        </is>
      </c>
      <c r="B4" s="3" t="n">
        <v>720000</v>
      </c>
      <c r="C4" t="inlineStr">
        <is>
          <t>RUB/вагон</t>
        </is>
      </c>
    </row>
    <row r="5">
      <c r="A5" t="inlineStr">
        <is>
          <t>Транзит по Азербайджану</t>
        </is>
      </c>
      <c r="B5" s="3" t="n">
        <v>2250</v>
      </c>
      <c r="C5" t="inlineStr">
        <is>
          <t>USD/вагон</t>
        </is>
      </c>
    </row>
    <row r="6">
      <c r="A6" t="inlineStr">
        <is>
          <t>Обратка порожнего вагона</t>
        </is>
      </c>
      <c r="B6" s="3" t="n">
        <v>250</v>
      </c>
      <c r="C6" t="inlineStr">
        <is>
          <t>USD/вагон</t>
        </is>
      </c>
    </row>
    <row r="7">
      <c r="A7" t="inlineStr">
        <is>
          <t>Валюта цены продажи</t>
        </is>
      </c>
      <c r="B7" t="inlineStr">
        <is>
          <t>USD</t>
        </is>
      </c>
      <c r="C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Дата</t>
        </is>
      </c>
      <c r="B1" s="1" t="inlineStr">
        <is>
          <t>Курс USD/RUB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6" customWidth="1" min="4" max="4"/>
    <col width="20" customWidth="1" min="5" max="5"/>
    <col width="12" customWidth="1" min="6" max="6"/>
    <col width="22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17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13" customWidth="1" min="25" max="25"/>
    <col width="26" customWidth="1" min="26" max="26"/>
    <col width="13" customWidth="1" min="27" max="27"/>
  </cols>
  <sheetData>
    <row r="1">
      <c r="A1" s="1" t="inlineStr">
        <is>
          <t>ID вагона</t>
        </is>
      </c>
      <c r="B1" s="1" t="inlineStr">
        <is>
          <t>Номер вагона</t>
        </is>
      </c>
      <c r="C1" s="1" t="inlineStr">
        <is>
          <t>Дата отправки</t>
        </is>
      </c>
      <c r="D1" s="1" t="inlineStr">
        <is>
          <t>Дата прибытия на ст. Ирана</t>
        </is>
      </c>
      <c r="E1" s="1" t="inlineStr">
        <is>
          <t>Дата фиксации цены</t>
        </is>
      </c>
      <c r="F1" s="1" t="inlineStr">
        <is>
          <t>Объём, м3</t>
        </is>
      </c>
      <c r="G1" s="1" t="inlineStr">
        <is>
          <t>Цена продажи, USD/м3</t>
        </is>
      </c>
      <c r="H1" s="1" t="inlineStr">
        <is>
          <t>Курс на дату фиксации</t>
        </is>
      </c>
      <c r="I1" s="1" t="inlineStr">
        <is>
          <t>Сумма к оплате, USD</t>
        </is>
      </c>
      <c r="J1" s="1" t="inlineStr">
        <is>
          <t>Сумма к оплате, RUB на дату фиксации</t>
        </is>
      </c>
      <c r="K1" s="1" t="inlineStr">
        <is>
          <t>Оплачено, USD</t>
        </is>
      </c>
      <c r="L1" s="1" t="inlineStr">
        <is>
          <t>Оплачено, RUB</t>
        </is>
      </c>
      <c r="M1" s="1" t="inlineStr">
        <is>
          <t>Остаток, USD</t>
        </is>
      </c>
      <c r="N1" s="1" t="inlineStr">
        <is>
          <t>Остаток, RUB по текущему курсу</t>
        </is>
      </c>
      <c r="O1" s="1" t="inlineStr">
        <is>
          <t>Статус</t>
        </is>
      </c>
      <c r="P1" s="1" t="inlineStr">
        <is>
          <t>Расход поставщика, RUB</t>
        </is>
      </c>
      <c r="Q1" s="1" t="inlineStr">
        <is>
          <t>Погрузка, RUB</t>
        </is>
      </c>
      <c r="R1" s="1" t="inlineStr">
        <is>
          <t>Транзит+обратка, USD</t>
        </is>
      </c>
      <c r="S1" s="1" t="inlineStr">
        <is>
          <t>Транзит+обратка, RUB</t>
        </is>
      </c>
      <c r="T1" s="1" t="inlineStr">
        <is>
          <t>Начисленная прибыль, RUB</t>
        </is>
      </c>
      <c r="U1" s="1" t="inlineStr">
        <is>
          <t>Кассовая прибыль, RUB</t>
        </is>
      </c>
      <c r="V1" s="1" t="inlineStr">
        <is>
          <t>Курсовая разница, RUB</t>
        </is>
      </c>
      <c r="W1" s="1" t="inlineStr">
        <is>
          <t>Прибыль на 1 м3, RUB</t>
        </is>
      </c>
      <c r="X1" s="1" t="inlineStr">
        <is>
          <t>Последний платёж</t>
        </is>
      </c>
      <c r="Y1" s="1" t="inlineStr">
        <is>
          <t>Срок оплаты</t>
        </is>
      </c>
      <c r="Z1" s="1" t="inlineStr">
        <is>
          <t>Просрочка</t>
        </is>
      </c>
      <c r="AA1" s="1" t="inlineStr">
        <is>
          <t>Комментарий</t>
        </is>
      </c>
    </row>
    <row r="2">
      <c r="C2" s="4" t="n"/>
      <c r="D2" s="4" t="n"/>
      <c r="E2" s="4" t="n"/>
      <c r="F2" s="3" t="n"/>
      <c r="G2" s="3" t="n"/>
      <c r="H2" s="3">
        <f>LOOKUP([@[Дата фиксации цены]],tblКурсы[Дата],tblКурсы[Курс])</f>
        <v/>
      </c>
      <c r="I2" s="3">
        <f>[@[Объём, м3]]*[@[Цена продажи, USD/м3]]</f>
        <v/>
      </c>
      <c r="J2" s="3">
        <f>[@[Сумма к оплате, USD]]*[@[Курс на дату фиксации]]</f>
        <v/>
      </c>
      <c r="K2" s="3">
        <f>SUMIFS(tblПлатежи[Сумма в USD],tblПлатежи[ID вагона],[@[ID вагона]],tblПлатежи[Статус],"факт")</f>
        <v/>
      </c>
      <c r="L2" s="3">
        <f>SUMIFS(tblПлатежи[Сумма в RUB],tblПлатежи[ID вагона],[@[ID вагона]],tblПлатежи[Статус],"факт")</f>
        <v/>
      </c>
      <c r="M2" s="3">
        <f>[@[Сумма к оплате, USD]]-[@[Оплачено, USD]]</f>
        <v/>
      </c>
      <c r="N2" s="3">
        <f>[@[Остаток, USD]]*Параметры!$B$2</f>
        <v/>
      </c>
      <c r="O2">
        <f>IF([@[Дата прибытия на ст. Ирана]]="","Ожидает прибытия",IF([@[Остаток, USD]]&lt;=0,"Оплачен",IF([@[Оплачено, USD]]&gt;0,"Частично оплачен","Ожидает оплаты")))</f>
        <v/>
      </c>
      <c r="P2" s="3">
        <f>[@[Объём, м3]]*Параметры!$B$3</f>
        <v/>
      </c>
      <c r="Q2" s="3">
        <f>Параметры!$B$4</f>
        <v/>
      </c>
      <c r="R2" s="3">
        <f>Параметры!$B$5+Параметры!$B$6</f>
        <v/>
      </c>
      <c r="S2" s="3">
        <f>[@[Транзит+обратка, USD]]*[@[Курс на дату фиксации]]</f>
        <v/>
      </c>
      <c r="T2" s="3">
        <f>[@[Сумма к оплате, RUB на дату фиксации]]-[@[Расход поставщика, RUB]]-[@[Погрузка, RUB]]-[@[Транзит+обратка, RUB]]</f>
        <v/>
      </c>
      <c r="U2" s="3">
        <f>[@[Оплачено, RUB]]-[@[Расход поставщика, RUB]]-[@[Погрузка, RUB]]-[@[Транзит+обратка, RUB]]</f>
        <v/>
      </c>
      <c r="V2" s="3">
        <f>[@[Оплачено, RUB]]-[@[Оплачено, USD]]*[@[Курс на дату фиксации]]</f>
        <v/>
      </c>
      <c r="W2" s="3">
        <f>IF([@[Объём, м3]]=0,0,[@[Кассовая прибыль, RUB]]/[@[Объём, м3]])</f>
        <v/>
      </c>
      <c r="X2" s="4">
        <f>IFERROR(SUMPRODUCT(MAX((tblПлатежи[ID вагона]=[@[ID вагона]])*(tblПлатежи[Статус]="факт")*(tblПлатежи[Дата платежа]))),"")</f>
        <v/>
      </c>
      <c r="Y2" s="4" t="n"/>
      <c r="Z2">
        <f>IF(AND([@[Срок оплаты]]&lt;&gt;"",[@[Остаток, USD]]&gt;0,TODAY()&gt;[@[Срок оплаты]]),"Просрочено","")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24" customWidth="1" min="5" max="5"/>
    <col width="24" customWidth="1" min="6" max="6"/>
    <col width="24" customWidth="1" min="7" max="7"/>
    <col width="12" customWidth="1" min="8" max="8"/>
    <col width="17" customWidth="1" min="9" max="9"/>
    <col width="24" customWidth="1" min="10" max="10"/>
  </cols>
  <sheetData>
    <row r="1">
      <c r="A1" s="1" t="inlineStr">
        <is>
          <t>Дата платежа</t>
        </is>
      </c>
      <c r="B1" s="1" t="inlineStr">
        <is>
          <t>ID вагона</t>
        </is>
      </c>
      <c r="C1" s="1" t="inlineStr">
        <is>
          <t>Сумма платежа</t>
        </is>
      </c>
      <c r="D1" s="1" t="inlineStr">
        <is>
          <t>Валюта</t>
        </is>
      </c>
      <c r="E1" s="1" t="inlineStr">
        <is>
          <t>Курс на дату платежа</t>
        </is>
      </c>
      <c r="F1" s="1" t="inlineStr">
        <is>
          <t>Сумма в USD</t>
        </is>
      </c>
      <c r="G1" s="1" t="inlineStr">
        <is>
          <t>Сумма в RUB</t>
        </is>
      </c>
      <c r="H1" s="1" t="inlineStr">
        <is>
          <t>Статус</t>
        </is>
      </c>
      <c r="I1" s="1" t="inlineStr">
        <is>
          <t>Банк/примечание</t>
        </is>
      </c>
      <c r="J1" s="1" t="inlineStr">
        <is>
          <t>№ платежа</t>
        </is>
      </c>
    </row>
    <row r="2">
      <c r="A2" s="4" t="n"/>
      <c r="C2" s="3" t="n"/>
      <c r="E2" s="2">
        <f>LOOKUP([@[Дата платежа]],tblКурсы[Дата],tblКурсы[Курс])</f>
        <v/>
      </c>
      <c r="F2" s="3">
        <f>IF([@Валюта]="USD",[@[Сумма платежа]],[@[Сумма платежа]]/[@[Курс на дату платежа]])</f>
        <v/>
      </c>
      <c r="G2" s="3">
        <f>IF([@Валюта]="RUB",[@[Сумма платежа]],[@[Сумма платежа]]*[@[Курс на дату платежа]])</f>
        <v/>
      </c>
      <c r="J2">
        <f>COUNTIF(INDEX(tblПлатежи[ID вагона],1):[@[ID вагона]],[@[ID вагона]])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ID вагона</t>
        </is>
      </c>
      <c r="B1" s="1" t="inlineStr">
        <is>
          <t>№ платежа</t>
        </is>
      </c>
      <c r="C1" s="1" t="inlineStr">
        <is>
          <t>Плановая дата</t>
        </is>
      </c>
      <c r="D1" s="1" t="inlineStr">
        <is>
          <t>Плановая сумма USD</t>
        </is>
      </c>
      <c r="E1" s="1" t="inlineStr">
        <is>
          <t>План RUB</t>
        </is>
      </c>
      <c r="F1" s="1" t="inlineStr">
        <is>
          <t>Статус</t>
        </is>
      </c>
      <c r="G1" s="1" t="inlineStr">
        <is>
          <t>Факт дата</t>
        </is>
      </c>
      <c r="H1" s="1" t="inlineStr">
        <is>
          <t>Факт RUB</t>
        </is>
      </c>
      <c r="I1" s="1" t="inlineStr">
        <is>
          <t>Отклонение</t>
        </is>
      </c>
    </row>
    <row r="2">
      <c r="C2" s="4" t="n"/>
      <c r="D2" s="3" t="n"/>
      <c r="E2" s="3" t="n"/>
      <c r="G2" s="4" t="n"/>
      <c r="H2" s="3" t="n"/>
      <c r="I2" s="3">
        <f>IFERROR([@[Факт RUB]]-[@[План RUB]],0)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вагонов</t>
        </is>
      </c>
      <c r="B2" s="3">
        <f>COUNTA(tblВагоны[ID вагона])</f>
        <v/>
      </c>
    </row>
    <row r="3">
      <c r="A3" t="inlineStr">
        <is>
          <t>Объём, м3</t>
        </is>
      </c>
      <c r="B3" s="3">
        <f>SUM(tblВагоны[Объём, м3])</f>
        <v/>
      </c>
    </row>
    <row r="4">
      <c r="A4" t="inlineStr">
        <is>
          <t>Сумма продаж, USD</t>
        </is>
      </c>
      <c r="B4" s="3">
        <f>SUM(tblВагоны[Сумма к оплате, USD])</f>
        <v/>
      </c>
    </row>
    <row r="5">
      <c r="A5" t="inlineStr">
        <is>
          <t>Оплачено, USD</t>
        </is>
      </c>
      <c r="B5" s="3">
        <f>SUM(tblВагоны[Оплачено, USD])</f>
        <v/>
      </c>
    </row>
    <row r="6">
      <c r="A6" t="inlineStr">
        <is>
          <t>Остаток, USD</t>
        </is>
      </c>
      <c r="B6" s="3">
        <f>SUM(tblВагоны[Остаток, USD])</f>
        <v/>
      </c>
    </row>
    <row r="7">
      <c r="A7" t="inlineStr">
        <is>
          <t>Оплачено, RUB</t>
        </is>
      </c>
      <c r="B7" s="3">
        <f>SUM(tblВагоны[Оплачено, RUB])</f>
        <v/>
      </c>
    </row>
    <row r="8">
      <c r="A8" t="inlineStr">
        <is>
          <t>Начисленная прибыль, RUB</t>
        </is>
      </c>
      <c r="B8" s="3">
        <f>SUM(tblВагоны[Начисленная прибыль, RUB])</f>
        <v/>
      </c>
    </row>
    <row r="9">
      <c r="A9" t="inlineStr">
        <is>
          <t>Кассовая прибыль, RUB</t>
        </is>
      </c>
      <c r="B9" s="3">
        <f>SUM(tblВагоны[Кассовая прибыль, RUB])</f>
        <v/>
      </c>
    </row>
    <row r="10">
      <c r="A10" t="inlineStr">
        <is>
          <t>Курсовая разница, RUB</t>
        </is>
      </c>
      <c r="B10" s="3">
        <f>SUM(tblВагоны[Курсовая разница, RUB])</f>
        <v/>
      </c>
    </row>
    <row r="13">
      <c r="A13" t="inlineStr">
        <is>
          <t>Сводка по вагонам</t>
        </is>
      </c>
    </row>
    <row r="14">
      <c r="A14" s="1" t="inlineStr">
        <is>
          <t>ID вагона</t>
        </is>
      </c>
      <c r="B14" s="1" t="inlineStr">
        <is>
          <t>Сумма USD</t>
        </is>
      </c>
      <c r="C14" s="1" t="inlineStr">
        <is>
          <t>Оплачено USD</t>
        </is>
      </c>
      <c r="D14" s="1" t="inlineStr">
        <is>
          <t>Остаток USD</t>
        </is>
      </c>
      <c r="E14" s="1" t="inlineStr">
        <is>
          <t>Оплачено RUB</t>
        </is>
      </c>
      <c r="F14" s="1" t="inlineStr">
        <is>
          <t>Кассовая прибыль RUB</t>
        </is>
      </c>
    </row>
    <row r="18">
      <c r="A18" t="inlineStr">
        <is>
          <t>Сводка по месяцам</t>
        </is>
      </c>
    </row>
    <row r="19">
      <c r="A19" s="1" t="inlineStr">
        <is>
          <t>Месяц</t>
        </is>
      </c>
      <c r="B19" s="1" t="inlineStr">
        <is>
          <t>Оплачено RUB</t>
        </is>
      </c>
      <c r="C19" s="1" t="inlineStr">
        <is>
          <t>Кол-во платежей</t>
        </is>
      </c>
    </row>
    <row r="24">
      <c r="A24" t="inlineStr">
        <is>
          <t>Сводка по валютам</t>
        </is>
      </c>
    </row>
    <row r="25">
      <c r="A25" s="1" t="inlineStr">
        <is>
          <t>Валюта</t>
        </is>
      </c>
      <c r="B25" s="1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2026-09-21T20:15:44Z</dcterms:created>
  <dcterms:modified xsi:type="dcterms:W3CDTF">2026-09-21T20:15:44Z</dcterms:modified>
</cp:coreProperties>
</file>